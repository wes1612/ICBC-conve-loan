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5c215ee2d841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经营流水" sheetId="1" r:id="R46582724d19e44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;[Red](¥#,##0);-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0"/>
      <x:color rgb="FFA71930"/>
      <x:name val="Carlito"/>
    </x:font>
    <x:font>
      <x:sz val="10"/>
      <x:color rgb="FF262321"/>
      <x:name val="Carlito"/>
    </x:font>
    <x:font>
      <x:b/>
      <x:sz val="10"/>
      <x:color rgb="FF6F6862"/>
      <x:name val="Carlito"/>
    </x:font>
    <x:font>
      <x:b/>
      <x:sz val="10"/>
      <x:color rgb="FFFFFFFF"/>
      <x:name val="Carlito"/>
    </x:font>
    <x:font>
      <x:b/>
      <x:sz val="11"/>
      <x:color rgb="FFA71930"/>
      <x:name val="Carlito"/>
    </x:font>
    <x:font>
      <x:sz val="10"/>
      <x:color rgb="FFA85C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A71930"/>
      </x:patternFill>
    </x:fill>
    <x:fill>
      <x:patternFill patternType="solid">
        <x:fgColor rgb="FFF8E9ED"/>
      </x:patternFill>
    </x:fill>
    <x:fill>
      <x:patternFill patternType="solid">
        <x:fgColor rgb="FFF7F5F2"/>
      </x:patternFill>
    </x:fill>
    <x:fill>
      <x:patternFill patternType="solid">
        <x:fgColor rgb="FF262321"/>
      </x:patternFill>
    </x:fill>
    <x:fill>
      <x:patternFill patternType="solid">
        <x:fgColor rgb="FFFFF1DB"/>
      </x:patternFill>
    </x:fill>
  </x:fills>
  <x:borders count="11">
    <x:border/>
    <x:border>
      <x:left style="thin">
        <x:color rgb="FFDED8D1"/>
      </x:left>
      <x:top style="thin">
        <x:color rgb="FFDED8D1"/>
      </x:top>
    </x:border>
    <x:border>
      <x:top style="thin">
        <x:color rgb="FFDED8D1"/>
      </x:top>
    </x:border>
    <x:border>
      <x:right style="thin">
        <x:color rgb="FFDED8D1"/>
      </x:right>
      <x:top style="thin">
        <x:color rgb="FFDED8D1"/>
      </x:top>
    </x:border>
    <x:border>
      <x:left style="thin">
        <x:color rgb="FFDED8D1"/>
      </x:left>
    </x:border>
    <x:border>
      <x:right style="thin">
        <x:color rgb="FFDED8D1"/>
      </x:right>
    </x:border>
    <x:border>
      <x:left style="thin">
        <x:color rgb="FFDED8D1"/>
      </x:left>
      <x:bottom style="thin">
        <x:color rgb="FFDED8D1"/>
      </x:bottom>
    </x:border>
    <x:border>
      <x:bottom style="thin">
        <x:color rgb="FFDED8D1"/>
      </x:bottom>
    </x:border>
    <x:border>
      <x:right style="thin">
        <x:color rgb="FFDED8D1"/>
      </x:right>
      <x:bottom style="thin">
        <x:color rgb="FFDED8D1"/>
      </x:bottom>
    </x:border>
    <x:border>
      <x:top style="thin">
        <x:color rgb="FFDED8D1"/>
      </x:top>
      <x:bottom style="thin">
        <x:color rgb="FFDED8D1"/>
      </x:bottom>
    </x:border>
    <x:border>
      <x:top style="double">
        <x:color rgb="FFA71930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4" fillId="4" borderId="1" xfId="0" applyNumberFormat="1" applyFont="1" applyFill="1" applyBorder="1"/>
    <x:xf numFmtId="0" fontId="4" fillId="4" borderId="4" xfId="0" applyNumberFormat="1" applyFont="1" applyFill="1" applyBorder="1"/>
    <x:xf numFmtId="0" fontId="4" fillId="4" borderId="6" xfId="0" applyNumberFormat="1" applyFont="1" applyFill="1" applyBorder="1"/>
    <x:xf numFmtId="0" fontId="4" fillId="4" borderId="2" xfId="0" applyNumberFormat="1" applyFont="1" applyFill="1" applyBorder="1"/>
    <x:xf numFmtId="0" fontId="4" fillId="4" borderId="0" xfId="0" applyNumberFormat="1" applyFont="1" applyFill="1" applyBorder="1"/>
    <x:xf numFmtId="0" fontId="4" fillId="4" borderId="7" xfId="0" applyNumberFormat="1" applyFont="1" applyFill="1" applyBorder="1"/>
    <x:xf numFmtId="200" fontId="3" fillId="4" borderId="5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7" xfId="0" applyNumberFormat="1" applyFont="1" applyFill="1" applyBorder="1"/>
    <x:xf numFmtId="0" fontId="3" fillId="0" borderId="9" xfId="0" applyNumberFormat="1" applyFont="1" applyFill="1" applyBorder="1"/>
    <x:xf numFmtId="200" fontId="3" fillId="0" borderId="7" xfId="0" applyNumberFormat="1" applyFont="1" applyFill="1" applyBorder="1"/>
    <x:xf numFmtId="200" fontId="3" fillId="0" borderId="9" xfId="0" applyNumberFormat="1" applyFont="1" applyFill="1" applyBorder="1"/>
    <x:xf numFmtId="0" fontId="3" fillId="0" borderId="7" xfId="0" applyNumberFormat="1" applyFont="1" applyFill="1" applyBorder="1" applyAlignment="1">
      <x:alignment horizontal="center"/>
    </x:xf>
    <x:xf numFmtId="0" fontId="3" fillId="0" borderId="9" xfId="0" applyNumberFormat="1" applyFont="1" applyFill="1" applyBorder="1" applyAlignment="1">
      <x:alignment horizontal="center"/>
    </x:xf>
    <x:xf numFmtId="0" fontId="6" fillId="3" borderId="0" xfId="0" applyNumberFormat="1" applyFont="1" applyFill="1" applyBorder="1"/>
    <x:xf numFmtId="0" fontId="6" fillId="3" borderId="10" xfId="0" applyNumberFormat="1" applyFont="1" applyFill="1" applyBorder="1"/>
    <x:xf numFmtId="200" fontId="6" fillId="3" borderId="10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cc077dd164415c" /><Relationship Type="http://schemas.openxmlformats.org/officeDocument/2006/relationships/theme" Target="/xl/theme/theme1.xml" Id="R739c7f56bc5645ea" /><Relationship Type="http://schemas.openxmlformats.org/officeDocument/2006/relationships/sharedStrings" Target="/xl/sharedStrings.xml" Id="R451c9ff69802403b" /><Relationship Type="http://schemas.openxmlformats.org/officeDocument/2006/relationships/worksheet" Target="/xl/worksheets/sheet1.xml" Id="R46582724d19e443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18" hidden="0" customWidth="1"/>
    <x:col min="4" max="4" width="23" hidden="0" customWidth="1"/>
    <x:col min="5" max="5" width="14" hidden="0" customWidth="1"/>
    <x:col min="6" max="6" width="17" hidden="0" customWidth="1"/>
  </x:cols>
  <x:sheetData>
    <x:row r="1" ht="21.600000381469727" hidden="0" customHeight="1">
      <x:c r="A1" s="3" t="str">
        <x:v>M005 近 12 个月经营流水</x:v>
      </x:c>
      <x:c r="B1" s="3"/>
      <x:c r="C1" s="3"/>
      <x:c r="D1" s="3"/>
      <x:c r="E1" s="3"/>
      <x:c r="F1" s="3"/>
    </x:row>
    <x:row r="2" ht="15" hidden="0" customHeight="1">
      <x:c r="A2" s="6" t="str">
        <x:v>工行杯竞赛模拟材料 - 数据仅用于产品演示，不代表真实银行流水</x:v>
      </x:c>
      <x:c r="B2" s="6"/>
      <x:c r="C2" s="6"/>
      <x:c r="D2" s="6"/>
      <x:c r="E2" s="6"/>
      <x:c r="F2" s="6"/>
    </x:row>
    <x:row r="3"/>
    <x:row r="4" ht="15" hidden="0" customHeight="1">
      <x:c r="A4" s="17" t="str">
        <x:v>经营主体</x:v>
      </x:c>
      <x:c r="B4" s="10" t="str">
        <x:v>欣悦美发工作室</x:v>
      </x:c>
      <x:c r="C4" s="20" t="str">
        <x:v>统一社会信用代码</x:v>
      </x:c>
      <x:c r="D4" s="10" t="str">
        <x:v>91310000MA1DEMO005</x:v>
      </x:c>
      <x:c r="E4" s="20" t="str">
        <x:v>币种</x:v>
      </x:c>
      <x:c r="F4" s="11" t="str">
        <x:v>人民币</x:v>
      </x:c>
    </x:row>
    <x:row r="5" ht="15" hidden="0" customHeight="1">
      <x:c r="A5" s="18" t="str">
        <x:v>经营地址</x:v>
      </x:c>
      <x:c r="B5" s="8" t="str">
        <x:v>上海市示范区惠民路 188 号</x:v>
      </x:c>
      <x:c r="C5" s="21" t="str">
        <x:v>统计周期</x:v>
      </x:c>
      <x:c r="D5" s="8" t="str">
        <x:v>2025-08 至 2026-07</x:v>
      </x:c>
      <x:c r="E5" s="21" t="str">
        <x:v>期初余额</x:v>
      </x:c>
      <x:c r="F5" s="23" t="n">
        <x:v>42000</x:v>
      </x:c>
    </x:row>
    <x:row r="6" ht="15" hidden="0" customHeight="1">
      <x:c r="A6" s="19" t="str">
        <x:v>数据来源</x:v>
      </x:c>
      <x:c r="B6" s="15" t="str">
        <x:v>模拟对公及平台收款</x:v>
      </x:c>
      <x:c r="C6" s="22" t="str">
        <x:v>主体校验</x:v>
      </x:c>
      <x:c r="D6" s="15" t="str">
        <x:v>存在个人账户收款</x:v>
      </x:c>
      <x:c r="E6" s="22" t="str">
        <x:v>材料版本</x:v>
      </x:c>
      <x:c r="F6" s="16" t="str">
        <x:v>DEMO-2026.08</x:v>
      </x:c>
    </x:row>
    <x:row r="7"/>
    <x:row r="8" ht="15" hidden="0" customHeight="1">
      <x:c r="A8" s="26" t="str">
        <x:v>月份</x:v>
      </x:c>
      <x:c r="B8" s="26" t="str">
        <x:v>经营流入</x:v>
      </x:c>
      <x:c r="C8" s="26" t="str">
        <x:v>退款/冲正</x:v>
      </x:c>
      <x:c r="D8" s="26" t="str">
        <x:v>经营支出</x:v>
      </x:c>
      <x:c r="E8" s="26" t="str">
        <x:v>净现金流</x:v>
      </x:c>
      <x:c r="F8" s="26" t="str">
        <x:v>期末余额</x:v>
      </x:c>
    </x:row>
    <x:row r="9" ht="15" hidden="0" customHeight="1">
      <x:c r="A9" s="32" t="str">
        <x:v>2025-08</x:v>
      </x:c>
      <x:c r="B9" s="30" t="n">
        <x:v>82000</x:v>
      </x:c>
      <x:c r="C9" s="30" t="n">
        <x:v>4200</x:v>
      </x:c>
      <x:c r="D9" s="30" t="n">
        <x:v>69000</x:v>
      </x:c>
      <x:c r="E9" s="30" t="n">
        <x:f>B9-C9-D9</x:f>
        <x:v>8800</x:v>
      </x:c>
      <x:c r="F9" s="30" t="n">
        <x:f>$F$5+E9</x:f>
        <x:v>50800</x:v>
      </x:c>
    </x:row>
    <x:row r="10" ht="15" hidden="0" customHeight="1">
      <x:c r="A10" s="33" t="str">
        <x:v>2025-09</x:v>
      </x:c>
      <x:c r="B10" s="31" t="n">
        <x:v>84000</x:v>
      </x:c>
      <x:c r="C10" s="31" t="n">
        <x:v>4900</x:v>
      </x:c>
      <x:c r="D10" s="31" t="n">
        <x:v>71000</x:v>
      </x:c>
      <x:c r="E10" s="31" t="n">
        <x:f>B10-C10-D10</x:f>
        <x:v>8100</x:v>
      </x:c>
      <x:c r="F10" s="31" t="n">
        <x:f>F9+E10</x:f>
        <x:v>58900</x:v>
      </x:c>
    </x:row>
    <x:row r="11" ht="15" hidden="0" customHeight="1">
      <x:c r="A11" s="33" t="str">
        <x:v>2025-10</x:v>
      </x:c>
      <x:c r="B11" s="31" t="n">
        <x:v>86000</x:v>
      </x:c>
      <x:c r="C11" s="31" t="n">
        <x:v>5100</x:v>
      </x:c>
      <x:c r="D11" s="31" t="n">
        <x:v>72000</x:v>
      </x:c>
      <x:c r="E11" s="31" t="n">
        <x:f>B11-C11-D11</x:f>
        <x:v>8900</x:v>
      </x:c>
      <x:c r="F11" s="31" t="n">
        <x:f>F10+E11</x:f>
        <x:v>67800</x:v>
      </x:c>
    </x:row>
    <x:row r="12" ht="15" hidden="0" customHeight="1">
      <x:c r="A12" s="33" t="str">
        <x:v>2025-11</x:v>
      </x:c>
      <x:c r="B12" s="31" t="n">
        <x:v>85000</x:v>
      </x:c>
      <x:c r="C12" s="31" t="n">
        <x:v>4600</x:v>
      </x:c>
      <x:c r="D12" s="31" t="n">
        <x:v>73000</x:v>
      </x:c>
      <x:c r="E12" s="31" t="n">
        <x:f>B12-C12-D12</x:f>
        <x:v>7400</x:v>
      </x:c>
      <x:c r="F12" s="31" t="n">
        <x:f>F11+E12</x:f>
        <x:v>75200</x:v>
      </x:c>
    </x:row>
    <x:row r="13" ht="15" hidden="0" customHeight="1">
      <x:c r="A13" s="33" t="str">
        <x:v>2025-12</x:v>
      </x:c>
      <x:c r="B13" s="31" t="n">
        <x:v>88000</x:v>
      </x:c>
      <x:c r="C13" s="31" t="n">
        <x:v>7200</x:v>
      </x:c>
      <x:c r="D13" s="31" t="n">
        <x:v>75000</x:v>
      </x:c>
      <x:c r="E13" s="31" t="n">
        <x:f>B13-C13-D13</x:f>
        <x:v>5800</x:v>
      </x:c>
      <x:c r="F13" s="31" t="n">
        <x:f>F12+E13</x:f>
        <x:v>81000</x:v>
      </x:c>
    </x:row>
    <x:row r="14" ht="15" hidden="0" customHeight="1">
      <x:c r="A14" s="33" t="str">
        <x:v>2026-01</x:v>
      </x:c>
      <x:c r="B14" s="31" t="n">
        <x:v>90000</x:v>
      </x:c>
      <x:c r="C14" s="31" t="n">
        <x:v>8500</x:v>
      </x:c>
      <x:c r="D14" s="31" t="n">
        <x:v>78000</x:v>
      </x:c>
      <x:c r="E14" s="31" t="n">
        <x:f>B14-C14-D14</x:f>
        <x:v>3500</x:v>
      </x:c>
      <x:c r="F14" s="31" t="n">
        <x:f>F13+E14</x:f>
        <x:v>84500</x:v>
      </x:c>
    </x:row>
    <x:row r="15" ht="15" hidden="0" customHeight="1">
      <x:c r="A15" s="33" t="str">
        <x:v>2026-02</x:v>
      </x:c>
      <x:c r="B15" s="31" t="n">
        <x:v>92000</x:v>
      </x:c>
      <x:c r="C15" s="31" t="n">
        <x:v>9100</x:v>
      </x:c>
      <x:c r="D15" s="31" t="n">
        <x:v>80000</x:v>
      </x:c>
      <x:c r="E15" s="31" t="n">
        <x:f>B15-C15-D15</x:f>
        <x:v>2900</x:v>
      </x:c>
      <x:c r="F15" s="31" t="n">
        <x:f>F14+E15</x:f>
        <x:v>87400</x:v>
      </x:c>
    </x:row>
    <x:row r="16" ht="15" hidden="0" customHeight="1">
      <x:c r="A16" s="33" t="str">
        <x:v>2026-03</x:v>
      </x:c>
      <x:c r="B16" s="31" t="n">
        <x:v>93000</x:v>
      </x:c>
      <x:c r="C16" s="31" t="n">
        <x:v>8200</x:v>
      </x:c>
      <x:c r="D16" s="31" t="n">
        <x:v>82000</x:v>
      </x:c>
      <x:c r="E16" s="31" t="n">
        <x:f>B16-C16-D16</x:f>
        <x:v>2800</x:v>
      </x:c>
      <x:c r="F16" s="31" t="n">
        <x:f>F15+E16</x:f>
        <x:v>90200</x:v>
      </x:c>
    </x:row>
    <x:row r="17" ht="15" hidden="0" customHeight="1">
      <x:c r="A17" s="33" t="str">
        <x:v>2026-04</x:v>
      </x:c>
      <x:c r="B17" s="31" t="n">
        <x:v>95000</x:v>
      </x:c>
      <x:c r="C17" s="31" t="n">
        <x:v>10500</x:v>
      </x:c>
      <x:c r="D17" s="31" t="n">
        <x:v>90000</x:v>
      </x:c>
      <x:c r="E17" s="31" t="n">
        <x:f>B17-C17-D17</x:f>
        <x:v>-5500</x:v>
      </x:c>
      <x:c r="F17" s="31" t="n">
        <x:f>F16+E17</x:f>
        <x:v>84700</x:v>
      </x:c>
    </x:row>
    <x:row r="18" ht="15" hidden="0" customHeight="1">
      <x:c r="A18" s="33" t="str">
        <x:v>2026-05</x:v>
      </x:c>
      <x:c r="B18" s="31" t="n">
        <x:v>87000</x:v>
      </x:c>
      <x:c r="C18" s="31" t="n">
        <x:v>9800</x:v>
      </x:c>
      <x:c r="D18" s="31" t="n">
        <x:v>86000</x:v>
      </x:c>
      <x:c r="E18" s="31" t="n">
        <x:f>B18-C18-D18</x:f>
        <x:v>-8800</x:v>
      </x:c>
      <x:c r="F18" s="31" t="n">
        <x:f>F17+E18</x:f>
        <x:v>75900</x:v>
      </x:c>
    </x:row>
    <x:row r="19" ht="15" hidden="0" customHeight="1">
      <x:c r="A19" s="33" t="str">
        <x:v>2026-06</x:v>
      </x:c>
      <x:c r="B19" s="31" t="n">
        <x:v>85000</x:v>
      </x:c>
      <x:c r="C19" s="31" t="n">
        <x:v>9300</x:v>
      </x:c>
      <x:c r="D19" s="31" t="n">
        <x:v>84000</x:v>
      </x:c>
      <x:c r="E19" s="31" t="n">
        <x:f>B19-C19-D19</x:f>
        <x:v>-8300</x:v>
      </x:c>
      <x:c r="F19" s="31" t="n">
        <x:f>F18+E19</x:f>
        <x:v>67600</x:v>
      </x:c>
    </x:row>
    <x:row r="20" ht="15" hidden="0" customHeight="1">
      <x:c r="A20" s="33" t="str">
        <x:v>2026-07</x:v>
      </x:c>
      <x:c r="B20" s="31" t="n">
        <x:v>82000</x:v>
      </x:c>
      <x:c r="C20" s="31" t="n">
        <x:v>8700</x:v>
      </x:c>
      <x:c r="D20" s="31" t="n">
        <x:v>81000</x:v>
      </x:c>
      <x:c r="E20" s="31" t="n">
        <x:f>B20-C20-D20</x:f>
        <x:v>-7700</x:v>
      </x:c>
      <x:c r="F20" s="31" t="n">
        <x:f>F19+E20</x:f>
        <x:v>59900</x:v>
      </x:c>
    </x:row>
    <x:row r="21"/>
    <x:row r="22" ht="15" hidden="0" customHeight="1">
      <x:c r="A22" s="35" t="str">
        <x:v>合计 / 均值</x:v>
      </x:c>
      <x:c r="B22" s="36" t="n">
        <x:f>SUM(B9:B20)</x:f>
        <x:v>1049000</x:v>
      </x:c>
      <x:c r="C22" s="36" t="n">
        <x:f>SUM(C9:C20)</x:f>
        <x:v>90100</x:v>
      </x:c>
      <x:c r="D22" s="36" t="n">
        <x:f>SUM(D9:D20)</x:f>
        <x:v>941000</x:v>
      </x:c>
      <x:c r="E22" s="36" t="n">
        <x:f>SUM(E9:E20)</x:f>
        <x:v>17900</x:v>
      </x:c>
      <x:c r="F22" s="36" t="n">
        <x:f>F20</x:f>
        <x:v>59900</x:v>
      </x:c>
    </x:row>
    <x:row r="23"/>
    <x:row r="24" ht="24" hidden="0" customHeight="1">
      <x:c r="A24" s="39" t="str">
        <x:v>解析提示：存在整数金额重复、退款偏高及主体账户不一致，请进入人工复核。</x:v>
      </x:c>
      <x:c r="B24" s="39"/>
      <x:c r="C24" s="39"/>
      <x:c r="D24" s="39"/>
      <x:c r="E24" s="39"/>
      <x:c r="F24" s="39"/>
    </x:row>
    <x:row r="25" ht="24" hidden="0" customHeight="1">
      <x:c r="A25" s="39" t="str">
        <x:v>隐私提示：本文件为完全虚构的竞赛模拟材料，不包含真实个人或企业金融信息。</x:v>
      </x:c>
      <x:c r="B25" s="39"/>
      <x:c r="C25" s="39"/>
      <x:c r="D25" s="39"/>
      <x:c r="E25" s="39"/>
      <x:c r="F25" s="39"/>
    </x:row>
  </x:sheetData>
  <x:mergeCells>
    <x:mergeCell ref="A1:F1"/>
    <x:mergeCell ref="A2:F2"/>
    <x:mergeCell ref="A24:F24"/>
    <x:mergeCell ref="A25:F25"/>
  </x:mergeCells>
  <x:pageMargins left="0.7" right="0.7" top="0.75" bottom="0.75" header="0.3" footer="0.3"/>
</x:worksheet>
</file>