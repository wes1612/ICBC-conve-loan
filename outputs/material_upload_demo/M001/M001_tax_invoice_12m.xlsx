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3d26f6817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纳税开票汇总" sheetId="1" r:id="R11cd3bd1a7da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;[Red](¥#,##0);-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A71930"/>
      <x:name val="Carlito"/>
    </x:font>
    <x:font>
      <x:sz val="10"/>
      <x:color rgb="FF262321"/>
      <x:name val="Carlito"/>
    </x:font>
    <x:font>
      <x:b/>
      <x:sz val="10"/>
      <x:color rgb="FF6F6862"/>
      <x:name val="Carlito"/>
    </x:font>
    <x:font>
      <x:b/>
      <x:sz val="10"/>
      <x:color rgb="FFFFFFFF"/>
      <x:name val="Carlito"/>
    </x:font>
    <x:font>
      <x:b/>
      <x:sz val="11"/>
      <x:color rgb="FFA71930"/>
      <x:name val="Carlito"/>
    </x:font>
    <x:font>
      <x:sz val="10"/>
      <x:color rgb="FF1F785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A71930"/>
      </x:patternFill>
    </x:fill>
    <x:fill>
      <x:patternFill patternType="solid">
        <x:fgColor rgb="FFF8E9ED"/>
      </x:patternFill>
    </x:fill>
    <x:fill>
      <x:patternFill patternType="solid">
        <x:fgColor rgb="FFF7F5F2"/>
      </x:patternFill>
    </x:fill>
    <x:fill>
      <x:patternFill patternType="solid">
        <x:fgColor rgb="FF262321"/>
      </x:patternFill>
    </x:fill>
    <x:fill>
      <x:patternFill patternType="solid">
        <x:fgColor rgb="FFE7F3EE"/>
      </x:patternFill>
    </x:fill>
  </x:fills>
  <x:borders count="11">
    <x:border/>
    <x:border>
      <x:left style="thin">
        <x:color rgb="FFDED8D1"/>
      </x:left>
      <x:top style="thin">
        <x:color rgb="FFDED8D1"/>
      </x:top>
    </x:border>
    <x:border>
      <x:top style="thin">
        <x:color rgb="FFDED8D1"/>
      </x:top>
    </x:border>
    <x:border>
      <x:right style="thin">
        <x:color rgb="FFDED8D1"/>
      </x:right>
      <x:top style="thin">
        <x:color rgb="FFDED8D1"/>
      </x:top>
    </x:border>
    <x:border>
      <x:left style="thin">
        <x:color rgb="FFDED8D1"/>
      </x:left>
    </x:border>
    <x:border>
      <x:right style="thin">
        <x:color rgb="FFDED8D1"/>
      </x:right>
    </x:border>
    <x:border>
      <x:left style="thin">
        <x:color rgb="FFDED8D1"/>
      </x:left>
      <x:bottom style="thin">
        <x:color rgb="FFDED8D1"/>
      </x:bottom>
    </x:border>
    <x:border>
      <x:bottom style="thin">
        <x:color rgb="FFDED8D1"/>
      </x:bottom>
    </x:border>
    <x:border>
      <x:right style="thin">
        <x:color rgb="FFDED8D1"/>
      </x:right>
      <x:bottom style="thin">
        <x:color rgb="FFDED8D1"/>
      </x:bottom>
    </x:border>
    <x:border>
      <x:top style="thin">
        <x:color rgb="FFDED8D1"/>
      </x:top>
      <x:bottom style="thin">
        <x:color rgb="FFDED8D1"/>
      </x:bottom>
    </x:border>
    <x:border>
      <x:top style="double">
        <x:color rgb="FFA71930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2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9" xfId="0" applyNumberFormat="1" applyFont="1" applyFill="1" applyBorder="1"/>
    <x:xf numFmtId="200" fontId="3" fillId="0" borderId="7" xfId="0" applyNumberFormat="1" applyFont="1" applyFill="1" applyBorder="1"/>
    <x:xf numFmtId="200" fontId="3" fillId="0" borderId="9" xfId="0" applyNumberFormat="1" applyFont="1" applyFill="1" applyBorder="1"/>
    <x:xf numFmtId="201" fontId="3" fillId="0" borderId="7" xfId="0" applyNumberFormat="1" applyFont="1" applyFill="1" applyBorder="1"/>
    <x:xf numFmtId="201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200" fontId="6" fillId="3" borderId="10" xfId="0" applyNumberFormat="1" applyFont="1" applyFill="1" applyBorder="1"/>
    <x:xf numFmtId="201" fontId="6" fillId="3" borderId="1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85C00"/>
      </x:font>
      <x:fill>
        <x:patternFill patternType="solid">
          <x:bgColor rgb="FFFFF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a04e9252e4192" /><Relationship Type="http://schemas.openxmlformats.org/officeDocument/2006/relationships/theme" Target="/xl/theme/theme1.xml" Id="Rfe1041a071f547d3" /><Relationship Type="http://schemas.openxmlformats.org/officeDocument/2006/relationships/sharedStrings" Target="/xl/sharedStrings.xml" Id="R8f0f348143b2455f" /><Relationship Type="http://schemas.openxmlformats.org/officeDocument/2006/relationships/worksheet" Target="/xl/worksheets/sheet1.xml" Id="R11cd3bd1a7da4f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23" hidden="0" customWidth="1"/>
    <x:col min="5" max="5" width="14" hidden="0" customWidth="1"/>
    <x:col min="6" max="6" width="17" hidden="0" customWidth="1"/>
  </x:cols>
  <x:sheetData>
    <x:row r="1" ht="21.600000381469727" hidden="0" customHeight="1">
      <x:c r="A1" s="3" t="str">
        <x:v>M001 纳税与开票汇总</x:v>
      </x:c>
      <x:c r="B1" s="3"/>
      <x:c r="C1" s="3"/>
      <x:c r="D1" s="3"/>
      <x:c r="E1" s="3"/>
      <x:c r="F1" s="3"/>
    </x:row>
    <x:row r="2" ht="15" hidden="0" customHeight="1">
      <x:c r="A2" s="6" t="str">
        <x:v>工行杯竞赛模拟材料 - 用于经营真实性与流水交叉验证</x:v>
      </x:c>
      <x:c r="B2" s="6"/>
      <x:c r="C2" s="6"/>
      <x:c r="D2" s="6"/>
      <x:c r="E2" s="6"/>
      <x:c r="F2" s="6"/>
    </x:row>
    <x:row r="3"/>
    <x:row r="4" ht="15" hidden="0" customHeight="1">
      <x:c r="A4" s="17" t="str">
        <x:v>经营主体</x:v>
      </x:c>
      <x:c r="B4" s="10" t="str">
        <x:v>宜人美发生活馆</x:v>
      </x:c>
      <x:c r="C4" s="20" t="str">
        <x:v>统一社会信用代码</x:v>
      </x:c>
      <x:c r="D4" s="10" t="str">
        <x:v>91310000MA1DEMO001</x:v>
      </x:c>
      <x:c r="E4" s="20" t="str">
        <x:v>币种</x:v>
      </x:c>
      <x:c r="F4" s="11" t="str">
        <x:v>人民币</x:v>
      </x:c>
    </x:row>
    <x:row r="5" ht="15" hidden="0" customHeight="1">
      <x:c r="A5" s="18" t="str">
        <x:v>统计周期</x:v>
      </x:c>
      <x:c r="B5" s="8" t="str">
        <x:v>2025-08 至 2026-07</x:v>
      </x:c>
      <x:c r="C5" s="21" t="str">
        <x:v>申报口径</x:v>
      </x:c>
      <x:c r="D5" s="8" t="str">
        <x:v>月度模拟申报</x:v>
      </x:c>
      <x:c r="E5" s="21" t="str">
        <x:v>材料版本</x:v>
      </x:c>
      <x:c r="F5" s="13" t="str">
        <x:v>DEMO-2026.08</x:v>
      </x:c>
    </x:row>
    <x:row r="6" ht="15" hidden="0" customHeight="1">
      <x:c r="A6" s="19" t="str">
        <x:v>开票主体</x:v>
      </x:c>
      <x:c r="B6" s="15" t="str">
        <x:v>宜人美发生活馆</x:v>
      </x:c>
      <x:c r="C6" s="22" t="str">
        <x:v>主体校验</x:v>
      </x:c>
      <x:c r="D6" s="15" t="str">
        <x:v>一致</x:v>
      </x:c>
      <x:c r="E6" s="22" t="str">
        <x:v>数据性质</x:v>
      </x:c>
      <x:c r="F6" s="16" t="str">
        <x:v>竞赛模拟</x:v>
      </x:c>
    </x:row>
    <x:row r="7"/>
    <x:row r="8" ht="15" hidden="0" customHeight="1">
      <x:c r="A8" s="25" t="str">
        <x:v>月份</x:v>
      </x:c>
      <x:c r="B8" s="25" t="str">
        <x:v>经营收款</x:v>
      </x:c>
      <x:c r="C8" s="25" t="str">
        <x:v>开票收入</x:v>
      </x:c>
      <x:c r="D8" s="25" t="str">
        <x:v>开票覆盖率</x:v>
      </x:c>
      <x:c r="E8" s="25" t="str">
        <x:v>模拟税额</x:v>
      </x:c>
      <x:c r="F8" s="25" t="str">
        <x:v>申报状态</x:v>
      </x:c>
    </x:row>
    <x:row r="9" ht="15" hidden="0" customHeight="1">
      <x:c r="A9" s="33" t="str">
        <x:v>2025-08</x:v>
      </x:c>
      <x:c r="B9" s="29" t="n">
        <x:v>82000</x:v>
      </x:c>
      <x:c r="C9" s="29" t="n">
        <x:v>79000</x:v>
      </x:c>
      <x:c r="D9" s="31" t="n">
        <x:f>IFERROR(C9/B9,0)</x:f>
        <x:v>0.9634146341463414</x:v>
      </x:c>
      <x:c r="E9" s="29" t="n">
        <x:v>2450</x:v>
      </x:c>
      <x:c r="F9" s="27" t="str">
        <x:v>已申报</x:v>
      </x:c>
    </x:row>
    <x:row r="10" ht="15" hidden="0" customHeight="1">
      <x:c r="A10" s="34" t="str">
        <x:v>2025-09</x:v>
      </x:c>
      <x:c r="B10" s="30" t="n">
        <x:v>85000</x:v>
      </x:c>
      <x:c r="C10" s="30" t="n">
        <x:v>82000</x:v>
      </x:c>
      <x:c r="D10" s="32" t="n">
        <x:f>IFERROR(C10/B10,0)</x:f>
        <x:v>0.9647058823529412</x:v>
      </x:c>
      <x:c r="E10" s="30" t="n">
        <x:v>2580</x:v>
      </x:c>
      <x:c r="F10" s="28" t="str">
        <x:v>已申报</x:v>
      </x:c>
    </x:row>
    <x:row r="11" ht="15" hidden="0" customHeight="1">
      <x:c r="A11" s="34" t="str">
        <x:v>2025-10</x:v>
      </x:c>
      <x:c r="B11" s="30" t="n">
        <x:v>89000</x:v>
      </x:c>
      <x:c r="C11" s="30" t="n">
        <x:v>85000</x:v>
      </x:c>
      <x:c r="D11" s="32" t="n">
        <x:f>IFERROR(C11/B11,0)</x:f>
        <x:v>0.9550561797752809</x:v>
      </x:c>
      <x:c r="E11" s="30" t="n">
        <x:v>2680</x:v>
      </x:c>
      <x:c r="F11" s="28" t="str">
        <x:v>已申报</x:v>
      </x:c>
    </x:row>
    <x:row r="12" ht="15" hidden="0" customHeight="1">
      <x:c r="A12" s="34" t="str">
        <x:v>2025-11</x:v>
      </x:c>
      <x:c r="B12" s="30" t="n">
        <x:v>93000</x:v>
      </x:c>
      <x:c r="C12" s="30" t="n">
        <x:v>90000</x:v>
      </x:c>
      <x:c r="D12" s="32" t="n">
        <x:f>IFERROR(C12/B12,0)</x:f>
        <x:v>0.967741935483871</x:v>
      </x:c>
      <x:c r="E12" s="30" t="n">
        <x:v>2790</x:v>
      </x:c>
      <x:c r="F12" s="28" t="str">
        <x:v>已申报</x:v>
      </x:c>
    </x:row>
    <x:row r="13" ht="15" hidden="0" customHeight="1">
      <x:c r="A13" s="34" t="str">
        <x:v>2025-12</x:v>
      </x:c>
      <x:c r="B13" s="30" t="n">
        <x:v>95000</x:v>
      </x:c>
      <x:c r="C13" s="30" t="n">
        <x:v>91000</x:v>
      </x:c>
      <x:c r="D13" s="32" t="n">
        <x:f>IFERROR(C13/B13,0)</x:f>
        <x:v>0.9578947368421052</x:v>
      </x:c>
      <x:c r="E13" s="30" t="n">
        <x:v>2870</x:v>
      </x:c>
      <x:c r="F13" s="28" t="str">
        <x:v>已申报</x:v>
      </x:c>
    </x:row>
    <x:row r="14" ht="15" hidden="0" customHeight="1">
      <x:c r="A14" s="34" t="str">
        <x:v>2026-01</x:v>
      </x:c>
      <x:c r="B14" s="30" t="n">
        <x:v>97000</x:v>
      </x:c>
      <x:c r="C14" s="30" t="n">
        <x:v>94000</x:v>
      </x:c>
      <x:c r="D14" s="32" t="n">
        <x:f>IFERROR(C14/B14,0)</x:f>
        <x:v>0.9690721649484536</x:v>
      </x:c>
      <x:c r="E14" s="30" t="n">
        <x:v>2950</x:v>
      </x:c>
      <x:c r="F14" s="28" t="str">
        <x:v>已申报</x:v>
      </x:c>
    </x:row>
    <x:row r="15" ht="15" hidden="0" customHeight="1">
      <x:c r="A15" s="34" t="str">
        <x:v>2026-02</x:v>
      </x:c>
      <x:c r="B15" s="30" t="n">
        <x:v>99000</x:v>
      </x:c>
      <x:c r="C15" s="30" t="n">
        <x:v>96000</x:v>
      </x:c>
      <x:c r="D15" s="32" t="n">
        <x:f>IFERROR(C15/B15,0)</x:f>
        <x:v>0.9696969696969697</x:v>
      </x:c>
      <x:c r="E15" s="30" t="n">
        <x:v>3020</x:v>
      </x:c>
      <x:c r="F15" s="28" t="str">
        <x:v>已申报</x:v>
      </x:c>
    </x:row>
    <x:row r="16" ht="15" hidden="0" customHeight="1">
      <x:c r="A16" s="34" t="str">
        <x:v>2026-03</x:v>
      </x:c>
      <x:c r="B16" s="30" t="n">
        <x:v>101000</x:v>
      </x:c>
      <x:c r="C16" s="30" t="n">
        <x:v>98000</x:v>
      </x:c>
      <x:c r="D16" s="32" t="n">
        <x:f>IFERROR(C16/B16,0)</x:f>
        <x:v>0.9702970297029703</x:v>
      </x:c>
      <x:c r="E16" s="30" t="n">
        <x:v>3100</x:v>
      </x:c>
      <x:c r="F16" s="28" t="str">
        <x:v>已申报</x:v>
      </x:c>
    </x:row>
    <x:row r="17" ht="15" hidden="0" customHeight="1">
      <x:c r="A17" s="34" t="str">
        <x:v>2026-04</x:v>
      </x:c>
      <x:c r="B17" s="30" t="n">
        <x:v>103000</x:v>
      </x:c>
      <x:c r="C17" s="30" t="n">
        <x:v>99000</x:v>
      </x:c>
      <x:c r="D17" s="32" t="n">
        <x:f>IFERROR(C17/B17,0)</x:f>
        <x:v>0.9611650485436893</x:v>
      </x:c>
      <x:c r="E17" s="30" t="n">
        <x:v>3180</x:v>
      </x:c>
      <x:c r="F17" s="28" t="str">
        <x:v>已申报</x:v>
      </x:c>
    </x:row>
    <x:row r="18" ht="15" hidden="0" customHeight="1">
      <x:c r="A18" s="34" t="str">
        <x:v>2026-05</x:v>
      </x:c>
      <x:c r="B18" s="30" t="n">
        <x:v>105000</x:v>
      </x:c>
      <x:c r="C18" s="30" t="n">
        <x:v>101000</x:v>
      </x:c>
      <x:c r="D18" s="32" t="n">
        <x:f>IFERROR(C18/B18,0)</x:f>
        <x:v>0.9619047619047619</x:v>
      </x:c>
      <x:c r="E18" s="30" t="n">
        <x:v>3260</x:v>
      </x:c>
      <x:c r="F18" s="28" t="str">
        <x:v>已申报</x:v>
      </x:c>
    </x:row>
    <x:row r="19" ht="15" hidden="0" customHeight="1">
      <x:c r="A19" s="34" t="str">
        <x:v>2026-06</x:v>
      </x:c>
      <x:c r="B19" s="30" t="n">
        <x:v>99000</x:v>
      </x:c>
      <x:c r="C19" s="30" t="n">
        <x:v>96000</x:v>
      </x:c>
      <x:c r="D19" s="32" t="n">
        <x:f>IFERROR(C19/B19,0)</x:f>
        <x:v>0.9696969696969697</x:v>
      </x:c>
      <x:c r="E19" s="30" t="n">
        <x:v>3090</x:v>
      </x:c>
      <x:c r="F19" s="28" t="str">
        <x:v>已申报</x:v>
      </x:c>
    </x:row>
    <x:row r="20" ht="15" hidden="0" customHeight="1">
      <x:c r="A20" s="34" t="str">
        <x:v>2026-07</x:v>
      </x:c>
      <x:c r="B20" s="30" t="n">
        <x:v>100000</x:v>
      </x:c>
      <x:c r="C20" s="30" t="n">
        <x:v>91000</x:v>
      </x:c>
      <x:c r="D20" s="32" t="n">
        <x:f>IFERROR(C20/B20,0)</x:f>
        <x:v>0.91</x:v>
      </x:c>
      <x:c r="E20" s="30" t="n">
        <x:v>2980</x:v>
      </x:c>
      <x:c r="F20" s="28" t="str">
        <x:v>已申报</x:v>
      </x:c>
    </x:row>
    <x:row r="21"/>
    <x:row r="22" ht="15" hidden="0" customHeight="1">
      <x:c r="A22" s="36" t="str">
        <x:v>汇总</x:v>
      </x:c>
      <x:c r="B22" s="37" t="n">
        <x:f>SUM(B9:B20)</x:f>
        <x:v>1148000</x:v>
      </x:c>
      <x:c r="C22" s="37" t="n">
        <x:f>SUM(C9:C20)</x:f>
        <x:v>1102000</x:v>
      </x:c>
      <x:c r="D22" s="38" t="n">
        <x:f>IFERROR(C22/B22,0)</x:f>
        <x:v>0.9599303135888502</x:v>
      </x:c>
      <x:c r="E22" s="37" t="n">
        <x:f>SUM(E9:E20)</x:f>
        <x:v>34950</x:v>
      </x:c>
      <x:c r="F22" s="36" t="str">
        <x:f>COUNTIF(F9:F20,"已申报")&amp;" / 12 个月"</x:f>
        <x:v>12 / 12 个月</x:v>
      </x:c>
    </x:row>
    <x:row r="23"/>
    <x:row r="24" ht="15" hidden="0" customHeight="1">
      <x:c r="A24" s="41" t="str">
        <x:v>解析提示：开票与经营收款基本匹配，申报资料连续。</x:v>
      </x:c>
      <x:c r="B24" s="41"/>
      <x:c r="C24" s="41"/>
      <x:c r="D24" s="41"/>
      <x:c r="E24" s="41"/>
      <x:c r="F24" s="41"/>
    </x:row>
    <x:row r="25" ht="24" hidden="0" customHeight="1">
      <x:c r="A25" s="41" t="str">
        <x:v>隐私提示：本文件为完全虚构的竞赛模拟材料，不构成真实纳税申报或完税证明。</x:v>
      </x:c>
      <x:c r="B25" s="41"/>
      <x:c r="C25" s="41"/>
      <x:c r="D25" s="41"/>
      <x:c r="E25" s="41"/>
      <x:c r="F25" s="41"/>
    </x:row>
  </x:sheetData>
  <x:mergeCells>
    <x:mergeCell ref="A1:F1"/>
    <x:mergeCell ref="A2:F2"/>
    <x:mergeCell ref="A24:F24"/>
    <x:mergeCell ref="A25:F25"/>
  </x:mergeCells>
  <x:conditionalFormatting sqref="F9:F20">
    <x:cfRule type="expression" dxfId="0" priority="1">
      <x:formula>F9="缺失"</x:formula>
    </x:cfRule>
  </x:conditionalFormatting>
  <x:pageMargins left="0.7" right="0.7" top="0.75" bottom="0.75" header="0.3" footer="0.3"/>
</x:worksheet>
</file>